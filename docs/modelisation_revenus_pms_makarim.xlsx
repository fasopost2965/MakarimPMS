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eses" sheetId="1" state="visible" r:id="rId3"/>
    <sheet name="Modele 3 ans" sheetId="2" state="visible" r:id="rId4"/>
    <sheet name="Sensibilite" sheetId="3" state="visible" r:id="rId5"/>
    <sheet name="Synthe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<sst xmlns="http://schemas.openxmlformats.org/spreadsheetml/2006/main" count="145" uniqueCount="105">
  <si>
    <t xml:space="preserve">Hypotheses et sources - PMS Hotel Makarim (Tetouan)</t>
  </si>
  <si>
    <t xml:space="preserve">Parametre</t>
  </si>
  <si>
    <t xml:space="preserve">Valeur</t>
  </si>
  <si>
    <t xml:space="preserve">Unite</t>
  </si>
  <si>
    <t xml:space="preserve">Source / justification</t>
  </si>
  <si>
    <t xml:space="preserve">Nombre de chambres</t>
  </si>
  <si>
    <t xml:space="preserve">chambres</t>
  </si>
  <si>
    <t xml:space="preserve">Tripadvisor - Hotel Makarim Tetouan (24 chambres) : https://www.tripadvisor.com/Hotel_Review-g295397-d17789881-Reviews-Hotel_Makarim_Tetouan-Tetouan_Tanger_Tetouan_Al_Hoceima.html</t>
  </si>
  <si>
    <t xml:space="preserve">Taux d'occupation (TO) moyen 3 etoiles Maroc</t>
  </si>
  <si>
    <t xml:space="preserve">%</t>
  </si>
  <si>
    <t xml:space="preserve">SiyahaMag, taux d'occupation hotels Maroc 2026 : https://siyahamag.ma/guide/taux-occupation-hotels-maroc-2026</t>
  </si>
  <si>
    <t xml:space="preserve">ADR (prix moyen/nuit) - hypothese retenue</t>
  </si>
  <si>
    <t xml:space="preserve">MAD</t>
  </si>
  <si>
    <t xml:space="preserve">Milieu de la fourchette ADR 3 etoiles Maroc 350-750 MAD (SiyahaMag) et ADR effectif Makarim ~48-80 USD/nuit (momondo, HotelsCombined, Tripadvisor)</t>
  </si>
  <si>
    <t xml:space="preserve">Taux de change EUR -&gt; MAD</t>
  </si>
  <si>
    <t xml:space="preserve">MAD/EUR</t>
  </si>
  <si>
    <t xml:space="preserve">Xe.com, cours au 16/07/2026 : https://www.xe.com/fr/currencyconverter/convert/?Amount=1&amp;From=EUR&amp;To=MAD</t>
  </si>
  <si>
    <t xml:space="preserve">Taux de change USD -&gt; MAD</t>
  </si>
  <si>
    <t xml:space="preserve">MAD/USD</t>
  </si>
  <si>
    <t xml:space="preserve">Trading Economics, cours au 15/07/2026 : https://tradingeconomics.com/morocco/currency</t>
  </si>
  <si>
    <t xml:space="preserve">Commission Booking.com effective</t>
  </si>
  <si>
    <t xml:space="preserve">Bluerails / WeSpeak, commission effective 18-22% : https://www.bluerails.com/blog/the-20-percent-question</t>
  </si>
  <si>
    <t xml:space="preserve">Part des reservations via OTA (statu quo)</t>
  </si>
  <si>
    <t xml:space="preserve">Estimation pour petit hotel independant fortement depedant des OTA (a ajuster selon donnees reelles Makarim)</t>
  </si>
  <si>
    <t xml:space="preserve">Cout horaire charge personnel (estimation)</t>
  </si>
  <si>
    <t xml:space="preserve">MAD/h</t>
  </si>
  <si>
    <t xml:space="preserve">Estimation cout charge personnel front-desk/hebergement au Maroc (a valider avec la comptabilite de l'hotel)</t>
  </si>
  <si>
    <t xml:space="preserve">Abonnement PMS SaaS (BUY) - base</t>
  </si>
  <si>
    <t xml:space="preserve">USD/mois</t>
  </si>
  <si>
    <t xml:space="preserve">Milieu de fourchette PMS petites structures 50-300 USD/mois : https://www.hotelogix.com/blog/hotel-pms-pricing</t>
  </si>
  <si>
    <t xml:space="preserve">Frais de mise en oeuvre PMS SaaS (BUY, ponctuel)</t>
  </si>
  <si>
    <t xml:space="preserve">Estimation reduite pour petite structure (ref. mise en oeuvre 2000-15000 EUR pour hotels plus grands) : https://neo-gest.fr/logiciel-reservation-hotel-comparatif-2026/</t>
  </si>
  <si>
    <t xml:space="preserve">Cout developpement initial (BUILD) - base</t>
  </si>
  <si>
    <t xml:space="preserve">Milieu de fourchette outil metier standard 40000-150000 MAD : https://rmgsolutions.ma/fr/ressources/developpement-application-metier-maroc-guide-2026</t>
  </si>
  <si>
    <t xml:space="preserve">Taux de maintenance annuelle (BUILD)</t>
  </si>
  <si>
    <t xml:space="preserve">% du cout dev</t>
  </si>
  <si>
    <t xml:space="preserve">Regle empirique 15-20%/an : https://rmgsolutions.ma/fr/ressources/developpement-application-metier-maroc-guide-2026</t>
  </si>
  <si>
    <t xml:space="preserve">Hebergement VPS (BUILD)</t>
  </si>
  <si>
    <t xml:space="preserve">MAD/mois</t>
  </si>
  <si>
    <t xml:space="preserve">Hostinger VPS KVM2 ~7.79 EUR/mois converti en MAD : https://www.hostinger.com/fr/vps</t>
  </si>
  <si>
    <t xml:space="preserve">Cout temps developpeur cache (BUILD)</t>
  </si>
  <si>
    <t xml:space="preserve">MAD/an</t>
  </si>
  <si>
    <t xml:space="preserve">Estimation ~2 jours/mois de support a ~950 MAD/jour (tarif freelance Maroc) : https://www.freelancer.ma/profil/12400-developpeur-php-python-consultant-voip-asterisk</t>
  </si>
  <si>
    <t xml:space="preserve">Uplift RevPAR (BUY) - base</t>
  </si>
  <si>
    <t xml:space="preserve">Fourchette best-of-breed PMS+CM+RMS basique 5-8%, RMS bien parametre 5-15% : https://neo-gest.fr/logiciel-reservation-hotel-comparatif-2026/</t>
  </si>
  <si>
    <t xml:space="preserve">Uplift RevPAR (BUILD) - base</t>
  </si>
  <si>
    <t xml:space="preserve">Estimation : automatisation partielle (Gmail+n8n) sans revenue management ni sync temps reel</t>
  </si>
  <si>
    <t xml:space="preserve">Heures economisees/an (BUY) - base</t>
  </si>
  <si>
    <t xml:space="preserve">h/an</t>
  </si>
  <si>
    <t xml:space="preserve">89% des hoteliers economisent 2-10h+/semaine ; 17% &gt;500h/an (Hotel Tech Report 2026 Impact Study) : https://www.hospitalitynet.org/opinion/4130137/hotels-save-500-hours-annually-with-modern-pms-platforms-according-to-the-hoteltechreport-2026-pms-impact-study</t>
  </si>
  <si>
    <t xml:space="preserve">Heures economisees/an (BUILD) - base</t>
  </si>
  <si>
    <t xml:space="preserve">Estimation : automatisation partielle de la saisie des reservations, validation manuelle toujours requise</t>
  </si>
  <si>
    <t xml:space="preserve">Hausse reservations directes (BUY) - points de %</t>
  </si>
  <si>
    <t xml:space="preserve">points %</t>
  </si>
  <si>
    <t xml:space="preserve">Reservations directes +10-15% avec channel manager/booking engine : https://neo-gest.fr/logiciel-reservation-hotel-comparatif-2026/</t>
  </si>
  <si>
    <t xml:space="preserve">Modelisation des revenus 3 ans - Statu quo vs Build vs Buy</t>
  </si>
  <si>
    <t xml:space="preserve">Hotel Makarim (24 chambres, Tetouan) - Unite : MAD sauf indication contraire. Toutes les cellules sont des formules liees a l'onglet Hypotheses.</t>
  </si>
  <si>
    <t xml:space="preserve">1. STATU QUO - PMS actuel local, sans changement</t>
  </si>
  <si>
    <t xml:space="preserve">Poste</t>
  </si>
  <si>
    <t xml:space="preserve">An 1</t>
  </si>
  <si>
    <t xml:space="preserve">An 2</t>
  </si>
  <si>
    <t xml:space="preserve">An 3</t>
  </si>
  <si>
    <t xml:space="preserve">Nuits vendues (chambre-nuits)</t>
  </si>
  <si>
    <t xml:space="preserve">Revenu hebergement brut (MAD)</t>
  </si>
  <si>
    <t xml:space="preserve">Revenu via OTA (MAD)</t>
  </si>
  <si>
    <t xml:space="preserve">Commission Booking.com payee (MAD)</t>
  </si>
  <si>
    <t xml:space="preserve">Cout PMS (MAD)</t>
  </si>
  <si>
    <t xml:space="preserve">Valeur temps economise (MAD)</t>
  </si>
  <si>
    <t xml:space="preserve">Benefice net operationnel (MAD)</t>
  </si>
  <si>
    <t xml:space="preserve">2. BUILD - Poursuivre le developpement interne (hebergement en ligne + automatisation Gmail/n8n)</t>
  </si>
  <si>
    <t xml:space="preserve">Cout PMS - dev + hebergement + maintenance (MAD)</t>
  </si>
  <si>
    <t xml:space="preserve">3. BUY - Adopter un PMS SaaS commercial + channel manager</t>
  </si>
  <si>
    <t xml:space="preserve">Part OTA apres hausse resas directes (%)</t>
  </si>
  <si>
    <t xml:space="preserve">Cout PMS - abonnement + mise en oeuvre (MAD)</t>
  </si>
  <si>
    <t xml:space="preserve">4. COMPARAISON - Benefice net operationnel par scenario</t>
  </si>
  <si>
    <t xml:space="preserve">Scenario</t>
  </si>
  <si>
    <t xml:space="preserve">Cumul 3 ans</t>
  </si>
  <si>
    <t xml:space="preserve">Statu quo</t>
  </si>
  <si>
    <t xml:space="preserve">Build (developpement interne)</t>
  </si>
  <si>
    <t xml:space="preserve">Buy (PMS SaaS commercial)</t>
  </si>
  <si>
    <t xml:space="preserve">Delta Build vs Statu quo</t>
  </si>
  <si>
    <t xml:space="preserve">Delta Buy vs Statu quo</t>
  </si>
  <si>
    <t xml:space="preserve">Delta Buy vs Build</t>
  </si>
  <si>
    <t xml:space="preserve">Analyse de sensibilite (An 1)</t>
  </si>
  <si>
    <t xml:space="preserve">1. Scenario BUY - variation de l'uplift RevPAR</t>
  </si>
  <si>
    <t xml:space="preserve">Uplift RevPAR</t>
  </si>
  <si>
    <t xml:space="preserve">Revenu hebergement An1</t>
  </si>
  <si>
    <t xml:space="preserve">Commission payee An1</t>
  </si>
  <si>
    <t xml:space="preserve">Benefice net An1</t>
  </si>
  <si>
    <t xml:space="preserve">Pessimiste</t>
  </si>
  <si>
    <t xml:space="preserve">Base</t>
  </si>
  <si>
    <t xml:space="preserve">Optimiste</t>
  </si>
  <si>
    <t xml:space="preserve">2. Scenario BUILD - variation du cout de developpement initial</t>
  </si>
  <si>
    <t xml:space="preserve">Cout dev initial (MAD)</t>
  </si>
  <si>
    <t xml:space="preserve">Cout PMS An1 (MAD)</t>
  </si>
  <si>
    <t xml:space="preserve">Note : le scenario Base reprend exactement les valeurs de l'onglet 'Modele 3 ans' (An 1). Les scenarios Pessimiste/Optimiste font varier un seul parametre a la fois, toutes choses egales par ailleurs.</t>
  </si>
  <si>
    <t xml:space="preserve">Synthese - Comparaison 3 ans</t>
  </si>
  <si>
    <t xml:space="preserve">Benefice net cumule 3 ans (MAD)</t>
  </si>
  <si>
    <t xml:space="preserve">Delta vs Statu quo (MAD)</t>
  </si>
  <si>
    <t xml:space="preserve">Scenario le plus favorable (benefice net cumule le plus eleve)</t>
  </si>
  <si>
    <t xml:space="preserve">Rappel de lecture :</t>
  </si>
  <si>
    <t xml:space="preserve">- Statu quo = PMS local actuel, sans investissement, sans automatisation, sans channel manager.</t>
  </si>
  <si>
    <t xml:space="preserve">- Build = poursuite du developpement interne (hebergement en ligne + automatisation Gmail/n8n), sans synchronisation temps reel avec les OTA.</t>
  </si>
  <si>
    <t xml:space="preserve">- Buy = adoption d'un PMS SaaS commercial avec channel manager (synchronisation temps reel, risque d'overbooking quasi nul).</t>
  </si>
  <si>
    <t xml:space="preserve">- Toutes les hypotheses sont modifiables dans l'onglet Hypotheses ; les resultats se recalculent automatiquement.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</si>
</sst>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7A7974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1696F"/>
        <bgColor rgb="FF0C4E54"/>
      </patternFill>
    </fill>
    <fill>
      <patternFill patternType="solid">
        <fgColor rgb="FF20808D"/>
        <bgColor rgb="FF339966"/>
      </patternFill>
    </fill>
    <fill>
      <patternFill patternType="solid">
        <fgColor rgb="FF0C4E54"/>
        <bgColor rgb="FF01696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7A79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E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70"/>
  </cols>
  <sheetData>
    <row r="2" customFormat="false" ht="24" hidden="false" customHeight="true" outlineLevel="0" collapsed="false">
      <c r="B2" s="1" t="s">
        <v>0</v>
      </c>
      <c r="C2" s="1"/>
      <c r="D2" s="1"/>
      <c r="E2" s="1"/>
    </row>
    <row r="4" customFormat="false" ht="15" hidden="false" customHeight="false" outlineLevel="0" collapsed="false">
      <c r="B4" s="2" t="s">
        <v>1</v>
      </c>
      <c r="C4" s="2" t="s">
        <v>2</v>
      </c>
      <c r="D4" s="2" t="s">
        <v>3</v>
      </c>
      <c r="E4" s="2" t="s">
        <v>4</v>
      </c>
    </row>
    <row r="5" customFormat="false" ht="30" hidden="false" customHeight="true" outlineLevel="0" collapsed="false">
      <c r="B5" s="3" t="s">
        <v>5</v>
      </c>
      <c r="C5" s="4" t="n">
        <v>24</v>
      </c>
      <c r="D5" s="5" t="s">
        <v>6</v>
      </c>
      <c r="E5" s="6" t="s">
        <v>7</v>
      </c>
    </row>
    <row r="6" customFormat="false" ht="30" hidden="false" customHeight="true" outlineLevel="0" collapsed="false">
      <c r="B6" s="3" t="s">
        <v>8</v>
      </c>
      <c r="C6" s="7" t="n">
        <v>0.63</v>
      </c>
      <c r="D6" s="5" t="s">
        <v>9</v>
      </c>
      <c r="E6" s="6" t="s">
        <v>10</v>
      </c>
    </row>
    <row r="7" customFormat="false" ht="30" hidden="false" customHeight="true" outlineLevel="0" collapsed="false">
      <c r="B7" s="3" t="s">
        <v>11</v>
      </c>
      <c r="C7" s="4" t="n">
        <v>600</v>
      </c>
      <c r="D7" s="5" t="s">
        <v>12</v>
      </c>
      <c r="E7" s="6" t="s">
        <v>13</v>
      </c>
    </row>
    <row r="8" customFormat="false" ht="30" hidden="false" customHeight="true" outlineLevel="0" collapsed="false">
      <c r="B8" s="3" t="s">
        <v>14</v>
      </c>
      <c r="C8" s="8" t="n">
        <v>10.7</v>
      </c>
      <c r="D8" s="5" t="s">
        <v>15</v>
      </c>
      <c r="E8" s="6" t="s">
        <v>16</v>
      </c>
    </row>
    <row r="9" customFormat="false" ht="30" hidden="false" customHeight="true" outlineLevel="0" collapsed="false">
      <c r="B9" s="3" t="s">
        <v>17</v>
      </c>
      <c r="C9" s="8" t="n">
        <v>9.35</v>
      </c>
      <c r="D9" s="5" t="s">
        <v>18</v>
      </c>
      <c r="E9" s="6" t="s">
        <v>19</v>
      </c>
    </row>
    <row r="10" customFormat="false" ht="30" hidden="false" customHeight="true" outlineLevel="0" collapsed="false">
      <c r="B10" s="3" t="s">
        <v>20</v>
      </c>
      <c r="C10" s="7" t="n">
        <v>0.18</v>
      </c>
      <c r="D10" s="5" t="s">
        <v>9</v>
      </c>
      <c r="E10" s="6" t="s">
        <v>21</v>
      </c>
    </row>
    <row r="11" customFormat="false" ht="30" hidden="false" customHeight="true" outlineLevel="0" collapsed="false">
      <c r="B11" s="3" t="s">
        <v>22</v>
      </c>
      <c r="C11" s="7" t="n">
        <v>0.7</v>
      </c>
      <c r="D11" s="5" t="s">
        <v>9</v>
      </c>
      <c r="E11" s="6" t="s">
        <v>23</v>
      </c>
    </row>
    <row r="12" customFormat="false" ht="30" hidden="false" customHeight="true" outlineLevel="0" collapsed="false">
      <c r="B12" s="3" t="s">
        <v>24</v>
      </c>
      <c r="C12" s="4" t="n">
        <v>50</v>
      </c>
      <c r="D12" s="5" t="s">
        <v>25</v>
      </c>
      <c r="E12" s="6" t="s">
        <v>26</v>
      </c>
    </row>
    <row r="13" customFormat="false" ht="30" hidden="false" customHeight="true" outlineLevel="0" collapsed="false">
      <c r="B13" s="3" t="s">
        <v>27</v>
      </c>
      <c r="C13" s="4" t="n">
        <v>150</v>
      </c>
      <c r="D13" s="5" t="s">
        <v>28</v>
      </c>
      <c r="E13" s="6" t="s">
        <v>29</v>
      </c>
    </row>
    <row r="14" customFormat="false" ht="30" hidden="false" customHeight="true" outlineLevel="0" collapsed="false">
      <c r="B14" s="3" t="s">
        <v>30</v>
      </c>
      <c r="C14" s="4" t="n">
        <v>5000</v>
      </c>
      <c r="D14" s="5" t="s">
        <v>12</v>
      </c>
      <c r="E14" s="6" t="s">
        <v>31</v>
      </c>
    </row>
    <row r="15" customFormat="false" ht="30" hidden="false" customHeight="true" outlineLevel="0" collapsed="false">
      <c r="B15" s="3" t="s">
        <v>32</v>
      </c>
      <c r="C15" s="4" t="n">
        <v>80000</v>
      </c>
      <c r="D15" s="5" t="s">
        <v>12</v>
      </c>
      <c r="E15" s="6" t="s">
        <v>33</v>
      </c>
    </row>
    <row r="16" customFormat="false" ht="30" hidden="false" customHeight="true" outlineLevel="0" collapsed="false">
      <c r="B16" s="3" t="s">
        <v>34</v>
      </c>
      <c r="C16" s="7" t="n">
        <v>0.15</v>
      </c>
      <c r="D16" s="5" t="s">
        <v>35</v>
      </c>
      <c r="E16" s="6" t="s">
        <v>36</v>
      </c>
    </row>
    <row r="17" customFormat="false" ht="30" hidden="false" customHeight="true" outlineLevel="0" collapsed="false">
      <c r="B17" s="3" t="s">
        <v>37</v>
      </c>
      <c r="C17" s="4" t="n">
        <v>90</v>
      </c>
      <c r="D17" s="5" t="s">
        <v>38</v>
      </c>
      <c r="E17" s="6" t="s">
        <v>39</v>
      </c>
    </row>
    <row r="18" customFormat="false" ht="30" hidden="false" customHeight="true" outlineLevel="0" collapsed="false">
      <c r="B18" s="3" t="s">
        <v>40</v>
      </c>
      <c r="C18" s="4" t="n">
        <v>22800</v>
      </c>
      <c r="D18" s="5" t="s">
        <v>41</v>
      </c>
      <c r="E18" s="6" t="s">
        <v>42</v>
      </c>
    </row>
    <row r="19" customFormat="false" ht="30" hidden="false" customHeight="true" outlineLevel="0" collapsed="false">
      <c r="B19" s="3" t="s">
        <v>43</v>
      </c>
      <c r="C19" s="7" t="n">
        <v>0.08</v>
      </c>
      <c r="D19" s="5" t="s">
        <v>9</v>
      </c>
      <c r="E19" s="6" t="s">
        <v>44</v>
      </c>
    </row>
    <row r="20" customFormat="false" ht="30" hidden="false" customHeight="true" outlineLevel="0" collapsed="false">
      <c r="B20" s="3" t="s">
        <v>45</v>
      </c>
      <c r="C20" s="7" t="n">
        <v>0.02</v>
      </c>
      <c r="D20" s="5" t="s">
        <v>9</v>
      </c>
      <c r="E20" s="6" t="s">
        <v>46</v>
      </c>
    </row>
    <row r="21" customFormat="false" ht="30" hidden="false" customHeight="true" outlineLevel="0" collapsed="false">
      <c r="B21" s="3" t="s">
        <v>47</v>
      </c>
      <c r="C21" s="4" t="n">
        <v>500</v>
      </c>
      <c r="D21" s="5" t="s">
        <v>48</v>
      </c>
      <c r="E21" s="6" t="s">
        <v>49</v>
      </c>
    </row>
    <row r="22" customFormat="false" ht="30" hidden="false" customHeight="true" outlineLevel="0" collapsed="false">
      <c r="B22" s="3" t="s">
        <v>50</v>
      </c>
      <c r="C22" s="4" t="n">
        <v>250</v>
      </c>
      <c r="D22" s="5" t="s">
        <v>48</v>
      </c>
      <c r="E22" s="6" t="s">
        <v>51</v>
      </c>
    </row>
    <row r="23" customFormat="false" ht="30" hidden="false" customHeight="true" outlineLevel="0" collapsed="false">
      <c r="B23" s="3" t="s">
        <v>52</v>
      </c>
      <c r="C23" s="7" t="n">
        <v>0.1</v>
      </c>
      <c r="D23" s="5" t="s">
        <v>53</v>
      </c>
      <c r="E23" s="6" t="s">
        <v>54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6" min="3" style="0" width="16"/>
  </cols>
  <sheetData>
    <row r="2" customFormat="false" ht="24" hidden="false" customHeight="true" outlineLevel="0" collapsed="false">
      <c r="B2" s="1" t="s">
        <v>55</v>
      </c>
      <c r="C2" s="1"/>
      <c r="D2" s="1"/>
      <c r="E2" s="1"/>
      <c r="F2" s="1"/>
    </row>
    <row r="3" customFormat="false" ht="15" hidden="false" customHeight="false" outlineLevel="0" collapsed="false">
      <c r="B3" s="9" t="s">
        <v>56</v>
      </c>
      <c r="C3" s="9"/>
      <c r="D3" s="9"/>
      <c r="E3" s="9"/>
      <c r="F3" s="9"/>
    </row>
    <row r="5" customFormat="false" ht="15" hidden="false" customHeight="false" outlineLevel="0" collapsed="false">
      <c r="B5" s="10" t="s">
        <v>57</v>
      </c>
      <c r="C5" s="10"/>
      <c r="D5" s="10"/>
      <c r="E5" s="10"/>
      <c r="F5" s="10"/>
    </row>
    <row r="6" customFormat="false" ht="15" hidden="false" customHeight="false" outlineLevel="0" collapsed="false">
      <c r="B6" s="2" t="s">
        <v>58</v>
      </c>
      <c r="C6" s="2" t="s">
        <v>59</v>
      </c>
      <c r="D6" s="2" t="s">
        <v>60</v>
      </c>
      <c r="E6" s="2" t="s">
        <v>61</v>
      </c>
    </row>
    <row r="7" customFormat="false" ht="15" hidden="false" customHeight="false" outlineLevel="0" collapsed="false">
      <c r="B7" s="0" t="s">
        <v>62</v>
      </c>
      <c r="C7" s="11" t="n">
        <f aca="false">Hypotheses!C5*365*Hypotheses!C6</f>
        <v>5518.8</v>
      </c>
      <c r="D7" s="11" t="n">
        <f aca="false">Hypotheses!C5*365*Hypotheses!C6</f>
        <v>5518.8</v>
      </c>
      <c r="E7" s="11" t="n">
        <f aca="false">Hypotheses!C5*365*Hypotheses!C6</f>
        <v>5518.8</v>
      </c>
    </row>
    <row r="8" customFormat="false" ht="15" hidden="false" customHeight="false" outlineLevel="0" collapsed="false">
      <c r="B8" s="0" t="s">
        <v>63</v>
      </c>
      <c r="C8" s="11" t="n">
        <f aca="false">C7*Hypotheses!C7</f>
        <v>3311280</v>
      </c>
      <c r="D8" s="11" t="n">
        <f aca="false">D7*Hypotheses!C7</f>
        <v>3311280</v>
      </c>
      <c r="E8" s="11" t="n">
        <f aca="false">E7*Hypotheses!C7</f>
        <v>3311280</v>
      </c>
    </row>
    <row r="9" customFormat="false" ht="15" hidden="false" customHeight="false" outlineLevel="0" collapsed="false">
      <c r="B9" s="0" t="s">
        <v>64</v>
      </c>
      <c r="C9" s="11" t="n">
        <f aca="false">C8*Hypotheses!C11</f>
        <v>2317896</v>
      </c>
      <c r="D9" s="11" t="n">
        <f aca="false">D8*Hypotheses!C11</f>
        <v>2317896</v>
      </c>
      <c r="E9" s="11" t="n">
        <f aca="false">E8*Hypotheses!C11</f>
        <v>2317896</v>
      </c>
    </row>
    <row r="10" customFormat="false" ht="15" hidden="false" customHeight="false" outlineLevel="0" collapsed="false">
      <c r="B10" s="0" t="s">
        <v>65</v>
      </c>
      <c r="C10" s="11" t="n">
        <f aca="false">C9*Hypotheses!C10</f>
        <v>417221.28</v>
      </c>
      <c r="D10" s="11" t="n">
        <f aca="false">D9*Hypotheses!C10</f>
        <v>417221.28</v>
      </c>
      <c r="E10" s="11" t="n">
        <f aca="false">E9*Hypotheses!C10</f>
        <v>417221.28</v>
      </c>
    </row>
    <row r="11" customFormat="false" ht="15" hidden="false" customHeight="false" outlineLevel="0" collapsed="false">
      <c r="B11" s="0" t="s">
        <v>66</v>
      </c>
      <c r="C11" s="11" t="n">
        <v>0</v>
      </c>
      <c r="D11" s="11" t="n">
        <v>0</v>
      </c>
      <c r="E11" s="11" t="n">
        <v>0</v>
      </c>
    </row>
    <row r="12" customFormat="false" ht="15" hidden="false" customHeight="false" outlineLevel="0" collapsed="false">
      <c r="B12" s="0" t="s">
        <v>67</v>
      </c>
      <c r="C12" s="11" t="n">
        <v>0</v>
      </c>
      <c r="D12" s="11" t="n">
        <v>0</v>
      </c>
      <c r="E12" s="11" t="n">
        <v>0</v>
      </c>
    </row>
    <row r="13" customFormat="false" ht="15" hidden="false" customHeight="false" outlineLevel="0" collapsed="false">
      <c r="B13" s="0" t="s">
        <v>68</v>
      </c>
      <c r="C13" s="12" t="n">
        <f aca="false">C8-C10-C11+C12</f>
        <v>2894058.72</v>
      </c>
      <c r="D13" s="12" t="n">
        <f aca="false">D8-D10-D11+D12</f>
        <v>2894058.72</v>
      </c>
      <c r="E13" s="12" t="n">
        <f aca="false">E8-E10-E11+E12</f>
        <v>2894058.72</v>
      </c>
    </row>
    <row r="15" customFormat="false" ht="15" hidden="false" customHeight="false" outlineLevel="0" collapsed="false">
      <c r="B15" s="10" t="s">
        <v>69</v>
      </c>
      <c r="C15" s="10"/>
      <c r="D15" s="10"/>
      <c r="E15" s="10"/>
      <c r="F15" s="10"/>
    </row>
    <row r="16" customFormat="false" ht="15" hidden="false" customHeight="false" outlineLevel="0" collapsed="false">
      <c r="B16" s="2" t="s">
        <v>58</v>
      </c>
      <c r="C16" s="2" t="s">
        <v>59</v>
      </c>
      <c r="D16" s="2" t="s">
        <v>60</v>
      </c>
      <c r="E16" s="2" t="s">
        <v>61</v>
      </c>
    </row>
    <row r="17" customFormat="false" ht="15" hidden="false" customHeight="false" outlineLevel="0" collapsed="false">
      <c r="B17" s="0" t="s">
        <v>62</v>
      </c>
      <c r="C17" s="11" t="n">
        <f aca="false">C7</f>
        <v>5518.8</v>
      </c>
      <c r="D17" s="11" t="n">
        <f aca="false">D7</f>
        <v>5518.8</v>
      </c>
      <c r="E17" s="11" t="n">
        <f aca="false">E7</f>
        <v>5518.8</v>
      </c>
    </row>
    <row r="18" customFormat="false" ht="15" hidden="false" customHeight="false" outlineLevel="0" collapsed="false">
      <c r="B18" s="0" t="s">
        <v>63</v>
      </c>
      <c r="C18" s="11" t="n">
        <f aca="false">C8*(1+Hypotheses!C20)</f>
        <v>3377505.6</v>
      </c>
      <c r="D18" s="11" t="n">
        <f aca="false">D8*(1+Hypotheses!C20)</f>
        <v>3377505.6</v>
      </c>
      <c r="E18" s="11" t="n">
        <f aca="false">E8*(1+Hypotheses!C20)</f>
        <v>3377505.6</v>
      </c>
    </row>
    <row r="19" customFormat="false" ht="15" hidden="false" customHeight="false" outlineLevel="0" collapsed="false">
      <c r="B19" s="0" t="s">
        <v>64</v>
      </c>
      <c r="C19" s="11" t="n">
        <f aca="false">C18*Hypotheses!C11</f>
        <v>2364253.92</v>
      </c>
      <c r="D19" s="11" t="n">
        <f aca="false">D18*Hypotheses!C11</f>
        <v>2364253.92</v>
      </c>
      <c r="E19" s="11" t="n">
        <f aca="false">E18*Hypotheses!C11</f>
        <v>2364253.92</v>
      </c>
    </row>
    <row r="20" customFormat="false" ht="15" hidden="false" customHeight="false" outlineLevel="0" collapsed="false">
      <c r="B20" s="0" t="s">
        <v>65</v>
      </c>
      <c r="C20" s="11" t="n">
        <f aca="false">C19*Hypotheses!C10</f>
        <v>425565.7056</v>
      </c>
      <c r="D20" s="11" t="n">
        <f aca="false">D19*Hypotheses!C10</f>
        <v>425565.7056</v>
      </c>
      <c r="E20" s="11" t="n">
        <f aca="false">E19*Hypotheses!C10</f>
        <v>425565.7056</v>
      </c>
    </row>
    <row r="21" customFormat="false" ht="15" hidden="false" customHeight="false" outlineLevel="0" collapsed="false">
      <c r="B21" s="0" t="s">
        <v>70</v>
      </c>
      <c r="C21" s="11" t="n">
        <f aca="false">Hypotheses!C15+Hypotheses!C17*12+Hypotheses!C18</f>
        <v>103880</v>
      </c>
      <c r="D21" s="11" t="n">
        <f aca="false">Hypotheses!C15*Hypotheses!C16+Hypotheses!C17*12+Hypotheses!C18</f>
        <v>35880</v>
      </c>
      <c r="E21" s="11" t="n">
        <f aca="false">Hypotheses!C15*Hypotheses!C16+Hypotheses!C17*12+Hypotheses!C18</f>
        <v>35880</v>
      </c>
    </row>
    <row r="22" customFormat="false" ht="15" hidden="false" customHeight="false" outlineLevel="0" collapsed="false">
      <c r="B22" s="0" t="s">
        <v>67</v>
      </c>
      <c r="C22" s="11" t="n">
        <f aca="false">Hypotheses!C22*Hypotheses!C12</f>
        <v>12500</v>
      </c>
      <c r="D22" s="11" t="n">
        <f aca="false">Hypotheses!C22*Hypotheses!C12</f>
        <v>12500</v>
      </c>
      <c r="E22" s="11" t="n">
        <f aca="false">Hypotheses!C22*Hypotheses!C12</f>
        <v>12500</v>
      </c>
    </row>
    <row r="23" customFormat="false" ht="15" hidden="false" customHeight="false" outlineLevel="0" collapsed="false">
      <c r="B23" s="0" t="s">
        <v>68</v>
      </c>
      <c r="C23" s="12" t="n">
        <f aca="false">C18-C20-C21+C22</f>
        <v>2860559.8944</v>
      </c>
      <c r="D23" s="12" t="n">
        <f aca="false">D18-D20-D21+D22</f>
        <v>2928559.8944</v>
      </c>
      <c r="E23" s="12" t="n">
        <f aca="false">E18-E20-E21+E22</f>
        <v>2928559.8944</v>
      </c>
    </row>
    <row r="25" customFormat="false" ht="15" hidden="false" customHeight="false" outlineLevel="0" collapsed="false">
      <c r="B25" s="10" t="s">
        <v>71</v>
      </c>
      <c r="C25" s="10"/>
      <c r="D25" s="10"/>
      <c r="E25" s="10"/>
      <c r="F25" s="10"/>
    </row>
    <row r="26" customFormat="false" ht="15" hidden="false" customHeight="false" outlineLevel="0" collapsed="false">
      <c r="B26" s="2" t="s">
        <v>58</v>
      </c>
      <c r="C26" s="2" t="s">
        <v>59</v>
      </c>
      <c r="D26" s="2" t="s">
        <v>60</v>
      </c>
      <c r="E26" s="2" t="s">
        <v>61</v>
      </c>
    </row>
    <row r="27" customFormat="false" ht="15" hidden="false" customHeight="false" outlineLevel="0" collapsed="false">
      <c r="B27" s="0" t="s">
        <v>62</v>
      </c>
      <c r="C27" s="11" t="n">
        <f aca="false">C7</f>
        <v>5518.8</v>
      </c>
      <c r="D27" s="11" t="n">
        <f aca="false">D7</f>
        <v>5518.8</v>
      </c>
      <c r="E27" s="11" t="n">
        <f aca="false">E7</f>
        <v>5518.8</v>
      </c>
    </row>
    <row r="28" customFormat="false" ht="15" hidden="false" customHeight="false" outlineLevel="0" collapsed="false">
      <c r="B28" s="0" t="s">
        <v>63</v>
      </c>
      <c r="C28" s="11" t="n">
        <f aca="false">C8*(1+Hypotheses!C19)</f>
        <v>3576182.4</v>
      </c>
      <c r="D28" s="11" t="n">
        <f aca="false">D8*(1+Hypotheses!C19)</f>
        <v>3576182.4</v>
      </c>
      <c r="E28" s="11" t="n">
        <f aca="false">E8*(1+Hypotheses!C19)</f>
        <v>3576182.4</v>
      </c>
    </row>
    <row r="29" customFormat="false" ht="15" hidden="false" customHeight="false" outlineLevel="0" collapsed="false">
      <c r="B29" s="0" t="s">
        <v>72</v>
      </c>
      <c r="C29" s="13" t="n">
        <f aca="false">Hypotheses!C11-Hypotheses!C23</f>
        <v>0.6</v>
      </c>
      <c r="D29" s="13" t="n">
        <f aca="false">Hypotheses!C11-Hypotheses!C23</f>
        <v>0.6</v>
      </c>
      <c r="E29" s="13" t="n">
        <f aca="false">Hypotheses!C11-Hypotheses!C23</f>
        <v>0.6</v>
      </c>
    </row>
    <row r="30" customFormat="false" ht="15" hidden="false" customHeight="false" outlineLevel="0" collapsed="false">
      <c r="B30" s="0" t="s">
        <v>64</v>
      </c>
      <c r="C30" s="11" t="n">
        <f aca="false">C28*C29</f>
        <v>2145709.44</v>
      </c>
      <c r="D30" s="11" t="n">
        <f aca="false">D28*D29</f>
        <v>2145709.44</v>
      </c>
      <c r="E30" s="11" t="n">
        <f aca="false">E28*E29</f>
        <v>2145709.44</v>
      </c>
    </row>
    <row r="31" customFormat="false" ht="15" hidden="false" customHeight="false" outlineLevel="0" collapsed="false">
      <c r="B31" s="0" t="s">
        <v>65</v>
      </c>
      <c r="C31" s="11" t="n">
        <f aca="false">C30*Hypotheses!C10</f>
        <v>386227.6992</v>
      </c>
      <c r="D31" s="11" t="n">
        <f aca="false">D30*Hypotheses!C10</f>
        <v>386227.6992</v>
      </c>
      <c r="E31" s="11" t="n">
        <f aca="false">E30*Hypotheses!C10</f>
        <v>386227.6992</v>
      </c>
    </row>
    <row r="32" customFormat="false" ht="15" hidden="false" customHeight="false" outlineLevel="0" collapsed="false">
      <c r="B32" s="0" t="s">
        <v>73</v>
      </c>
      <c r="C32" s="11" t="n">
        <f aca="false">Hypotheses!C13*Hypotheses!C9*12+Hypotheses!C14</f>
        <v>21830</v>
      </c>
      <c r="D32" s="11" t="n">
        <f aca="false">Hypotheses!C13*Hypotheses!C9*12</f>
        <v>16830</v>
      </c>
      <c r="E32" s="11" t="n">
        <f aca="false">Hypotheses!C13*Hypotheses!C9*12</f>
        <v>16830</v>
      </c>
    </row>
    <row r="33" customFormat="false" ht="15" hidden="false" customHeight="false" outlineLevel="0" collapsed="false">
      <c r="B33" s="0" t="s">
        <v>67</v>
      </c>
      <c r="C33" s="11" t="n">
        <f aca="false">Hypotheses!C21*Hypotheses!C12</f>
        <v>25000</v>
      </c>
      <c r="D33" s="11" t="n">
        <f aca="false">Hypotheses!C21*Hypotheses!C12</f>
        <v>25000</v>
      </c>
      <c r="E33" s="11" t="n">
        <f aca="false">Hypotheses!C21*Hypotheses!C12</f>
        <v>25000</v>
      </c>
    </row>
    <row r="34" customFormat="false" ht="15" hidden="false" customHeight="false" outlineLevel="0" collapsed="false">
      <c r="B34" s="0" t="s">
        <v>68</v>
      </c>
      <c r="C34" s="12" t="n">
        <f aca="false">C28-C31-C32+C33</f>
        <v>3193124.7008</v>
      </c>
      <c r="D34" s="12" t="n">
        <f aca="false">D28-D31-D32+D33</f>
        <v>3198124.7008</v>
      </c>
      <c r="E34" s="12" t="n">
        <f aca="false">E28-E31-E32+E33</f>
        <v>3198124.7008</v>
      </c>
    </row>
    <row r="36" customFormat="false" ht="15" hidden="false" customHeight="false" outlineLevel="0" collapsed="false">
      <c r="B36" s="10" t="s">
        <v>74</v>
      </c>
      <c r="C36" s="10"/>
      <c r="D36" s="10"/>
      <c r="E36" s="10"/>
      <c r="F36" s="10"/>
    </row>
    <row r="37" customFormat="false" ht="15" hidden="false" customHeight="false" outlineLevel="0" collapsed="false">
      <c r="B37" s="2" t="s">
        <v>75</v>
      </c>
      <c r="C37" s="2" t="s">
        <v>59</v>
      </c>
      <c r="D37" s="2" t="s">
        <v>60</v>
      </c>
      <c r="E37" s="2" t="s">
        <v>61</v>
      </c>
      <c r="F37" s="2" t="s">
        <v>76</v>
      </c>
    </row>
    <row r="38" customFormat="false" ht="15" hidden="false" customHeight="false" outlineLevel="0" collapsed="false">
      <c r="B38" s="14" t="s">
        <v>77</v>
      </c>
      <c r="C38" s="12" t="n">
        <f aca="false">C13</f>
        <v>2894058.72</v>
      </c>
      <c r="D38" s="12" t="n">
        <f aca="false">D13</f>
        <v>2894058.72</v>
      </c>
      <c r="E38" s="12" t="n">
        <f aca="false">E13</f>
        <v>2894058.72</v>
      </c>
      <c r="F38" s="12" t="n">
        <f aca="false">SUM(C38:E38)</f>
        <v>8682176.16</v>
      </c>
    </row>
    <row r="39" customFormat="false" ht="15" hidden="false" customHeight="false" outlineLevel="0" collapsed="false">
      <c r="B39" s="14" t="s">
        <v>78</v>
      </c>
      <c r="C39" s="12" t="n">
        <f aca="false">C23</f>
        <v>2860559.8944</v>
      </c>
      <c r="D39" s="12" t="n">
        <f aca="false">D23</f>
        <v>2928559.8944</v>
      </c>
      <c r="E39" s="12" t="n">
        <f aca="false">E23</f>
        <v>2928559.8944</v>
      </c>
      <c r="F39" s="12" t="n">
        <f aca="false">SUM(C39:E39)</f>
        <v>8717679.6832</v>
      </c>
    </row>
    <row r="40" customFormat="false" ht="15" hidden="false" customHeight="false" outlineLevel="0" collapsed="false">
      <c r="B40" s="14" t="s">
        <v>79</v>
      </c>
      <c r="C40" s="12" t="n">
        <f aca="false">C34</f>
        <v>3193124.7008</v>
      </c>
      <c r="D40" s="12" t="n">
        <f aca="false">D34</f>
        <v>3198124.7008</v>
      </c>
      <c r="E40" s="12" t="n">
        <f aca="false">E34</f>
        <v>3198124.7008</v>
      </c>
      <c r="F40" s="12" t="n">
        <f aca="false">SUM(C40:E40)</f>
        <v>9589374.1024</v>
      </c>
    </row>
    <row r="42" customFormat="false" ht="15" hidden="false" customHeight="false" outlineLevel="0" collapsed="false">
      <c r="B42" s="15" t="s">
        <v>80</v>
      </c>
      <c r="C42" s="11" t="n">
        <f aca="false">C39-C38</f>
        <v>-33498.8256000001</v>
      </c>
      <c r="D42" s="11" t="n">
        <f aca="false">D39-D38</f>
        <v>34501.1743999999</v>
      </c>
      <c r="E42" s="11" t="n">
        <f aca="false">E39-E38</f>
        <v>34501.1743999999</v>
      </c>
      <c r="F42" s="11" t="n">
        <f aca="false">F39-F38</f>
        <v>35503.5231999997</v>
      </c>
    </row>
    <row r="43" customFormat="false" ht="15" hidden="false" customHeight="false" outlineLevel="0" collapsed="false">
      <c r="B43" s="15" t="s">
        <v>81</v>
      </c>
      <c r="C43" s="11" t="n">
        <f aca="false">C40-C38</f>
        <v>299065.9808</v>
      </c>
      <c r="D43" s="11" t="n">
        <f aca="false">D40-D38</f>
        <v>304065.9808</v>
      </c>
      <c r="E43" s="11" t="n">
        <f aca="false">E40-E38</f>
        <v>304065.9808</v>
      </c>
      <c r="F43" s="11" t="n">
        <f aca="false">F40-F38</f>
        <v>907197.942400001</v>
      </c>
    </row>
    <row r="44" customFormat="false" ht="15" hidden="false" customHeight="false" outlineLevel="0" collapsed="false">
      <c r="B44" s="15" t="s">
        <v>82</v>
      </c>
      <c r="C44" s="11" t="n">
        <f aca="false">C40-C39</f>
        <v>332564.8064</v>
      </c>
      <c r="D44" s="11" t="n">
        <f aca="false">D40-D39</f>
        <v>269564.8064</v>
      </c>
      <c r="E44" s="11" t="n">
        <f aca="false">E40-E39</f>
        <v>269564.8064</v>
      </c>
      <c r="F44" s="11" t="n">
        <f aca="false">F40-F39</f>
        <v>871694.419200001</v>
      </c>
    </row>
  </sheetData>
  <mergeCells count="6">
    <mergeCell ref="B2:F2"/>
    <mergeCell ref="B3:F3"/>
    <mergeCell ref="B5:F5"/>
    <mergeCell ref="B15:F15"/>
    <mergeCell ref="B25:F25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8" min="8" style="0" width="20"/>
  </cols>
  <sheetData>
    <row r="2" customFormat="false" ht="24" hidden="false" customHeight="true" outlineLevel="0" collapsed="false">
      <c r="B2" s="1" t="s">
        <v>83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0" t="s">
        <v>84</v>
      </c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B5" s="2" t="s">
        <v>75</v>
      </c>
      <c r="C5" s="2" t="s">
        <v>85</v>
      </c>
      <c r="D5" s="2" t="s">
        <v>86</v>
      </c>
      <c r="E5" s="2" t="s">
        <v>87</v>
      </c>
      <c r="F5" s="2" t="s">
        <v>88</v>
      </c>
    </row>
    <row r="6" customFormat="false" ht="15" hidden="false" customHeight="false" outlineLevel="0" collapsed="false">
      <c r="B6" s="0" t="s">
        <v>89</v>
      </c>
      <c r="C6" s="16" t="n">
        <v>0.05</v>
      </c>
      <c r="D6" s="17" t="n">
        <f aca="false">'Modele 3 ans'!C8*(1+C6)</f>
        <v>3476844</v>
      </c>
      <c r="E6" s="17" t="n">
        <f aca="false">D6*(Hypotheses!C11-Hypotheses!C23)*Hypotheses!C10</f>
        <v>375499.152</v>
      </c>
      <c r="F6" s="17" t="n">
        <f aca="false">D6-E6-'Modele 3 ans'!C32+'Modele 3 ans'!C33</f>
        <v>3104514.848</v>
      </c>
    </row>
    <row r="7" customFormat="false" ht="15" hidden="false" customHeight="false" outlineLevel="0" collapsed="false">
      <c r="B7" s="18" t="s">
        <v>90</v>
      </c>
      <c r="C7" s="16" t="n">
        <f aca="false">Hypotheses!C19</f>
        <v>0.08</v>
      </c>
      <c r="D7" s="17" t="n">
        <f aca="false">'Modele 3 ans'!C8*(1+C7)</f>
        <v>3576182.4</v>
      </c>
      <c r="E7" s="17" t="n">
        <f aca="false">D7*(Hypotheses!C11-Hypotheses!C23)*Hypotheses!C10</f>
        <v>386227.6992</v>
      </c>
      <c r="F7" s="19" t="n">
        <f aca="false">D7-E7-'Modele 3 ans'!C32+'Modele 3 ans'!C33</f>
        <v>3193124.7008</v>
      </c>
    </row>
    <row r="8" customFormat="false" ht="15" hidden="false" customHeight="false" outlineLevel="0" collapsed="false">
      <c r="B8" s="0" t="s">
        <v>91</v>
      </c>
      <c r="C8" s="16" t="n">
        <v>0.15</v>
      </c>
      <c r="D8" s="17" t="n">
        <f aca="false">'Modele 3 ans'!C8*(1+C8)</f>
        <v>3807972</v>
      </c>
      <c r="E8" s="17" t="n">
        <f aca="false">D8*(Hypotheses!C11-Hypotheses!C23)*Hypotheses!C10</f>
        <v>411260.976</v>
      </c>
      <c r="F8" s="17" t="n">
        <f aca="false">D8-E8-'Modele 3 ans'!C32+'Modele 3 ans'!C33</f>
        <v>3399881.024</v>
      </c>
    </row>
    <row r="10" customFormat="false" ht="15" hidden="false" customHeight="false" outlineLevel="0" collapsed="false">
      <c r="B10" s="10" t="s">
        <v>92</v>
      </c>
      <c r="C10" s="10"/>
      <c r="D10" s="10"/>
      <c r="E10" s="10"/>
      <c r="F10" s="10"/>
      <c r="G10" s="10"/>
      <c r="H10" s="10"/>
    </row>
    <row r="11" customFormat="false" ht="15" hidden="false" customHeight="false" outlineLevel="0" collapsed="false">
      <c r="B11" s="2" t="s">
        <v>75</v>
      </c>
      <c r="C11" s="2" t="s">
        <v>93</v>
      </c>
      <c r="D11" s="2" t="s">
        <v>94</v>
      </c>
      <c r="E11" s="2" t="s">
        <v>88</v>
      </c>
      <c r="F11" s="2"/>
    </row>
    <row r="12" customFormat="false" ht="15" hidden="false" customHeight="false" outlineLevel="0" collapsed="false">
      <c r="B12" s="0" t="s">
        <v>89</v>
      </c>
      <c r="C12" s="17" t="n">
        <v>150000</v>
      </c>
      <c r="D12" s="17" t="n">
        <f aca="false">C12+Hypotheses!C17*12+Hypotheses!C18</f>
        <v>173880</v>
      </c>
      <c r="E12" s="17" t="n">
        <f aca="false">'Modele 3 ans'!C18-'Modele 3 ans'!C20-D12+'Modele 3 ans'!C22</f>
        <v>2790559.8944</v>
      </c>
    </row>
    <row r="13" customFormat="false" ht="15" hidden="false" customHeight="false" outlineLevel="0" collapsed="false">
      <c r="B13" s="18" t="s">
        <v>90</v>
      </c>
      <c r="C13" s="17" t="n">
        <f aca="false">Hypotheses!C15</f>
        <v>80000</v>
      </c>
      <c r="D13" s="17" t="n">
        <f aca="false">C13+Hypotheses!C17*12+Hypotheses!C18</f>
        <v>103880</v>
      </c>
      <c r="E13" s="19" t="n">
        <f aca="false">'Modele 3 ans'!C18-'Modele 3 ans'!C20-D13+'Modele 3 ans'!C22</f>
        <v>2860559.8944</v>
      </c>
    </row>
    <row r="14" customFormat="false" ht="15" hidden="false" customHeight="false" outlineLevel="0" collapsed="false">
      <c r="B14" s="0" t="s">
        <v>91</v>
      </c>
      <c r="C14" s="17" t="n">
        <v>40000</v>
      </c>
      <c r="D14" s="17" t="n">
        <f aca="false">C14+Hypotheses!C17*12+Hypotheses!C18</f>
        <v>63880</v>
      </c>
      <c r="E14" s="17" t="n">
        <f aca="false">'Modele 3 ans'!C18-'Modele 3 ans'!C20-D14+'Modele 3 ans'!C22</f>
        <v>2900559.8944</v>
      </c>
    </row>
    <row r="16" customFormat="false" ht="15" hidden="false" customHeight="false" outlineLevel="0" collapsed="false">
      <c r="B16" s="9" t="s">
        <v>95</v>
      </c>
      <c r="C16" s="9"/>
      <c r="D16" s="9"/>
      <c r="E16" s="9"/>
      <c r="F16" s="9"/>
      <c r="G16" s="9"/>
      <c r="H16" s="9"/>
    </row>
  </sheetData>
  <mergeCells count="4">
    <mergeCell ref="B2:H2"/>
    <mergeCell ref="B4:H4"/>
    <mergeCell ref="B10:H10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40"/>
  </cols>
  <sheetData>
    <row r="2" customFormat="false" ht="24" hidden="false" customHeight="true" outlineLevel="0" collapsed="false">
      <c r="B2" s="1" t="s">
        <v>96</v>
      </c>
      <c r="C2" s="1"/>
      <c r="D2" s="1"/>
      <c r="E2" s="1"/>
    </row>
    <row r="4" customFormat="false" ht="15" hidden="false" customHeight="false" outlineLevel="0" collapsed="false">
      <c r="B4" s="2" t="s">
        <v>75</v>
      </c>
      <c r="C4" s="2" t="s">
        <v>97</v>
      </c>
      <c r="D4" s="2" t="s">
        <v>98</v>
      </c>
    </row>
    <row r="5" customFormat="false" ht="15" hidden="false" customHeight="false" outlineLevel="0" collapsed="false">
      <c r="B5" s="0" t="s">
        <v>77</v>
      </c>
      <c r="C5" s="11" t="n">
        <f aca="false">'Modele 3 ans'!F38</f>
        <v>8682176.16</v>
      </c>
      <c r="D5" s="11" t="n">
        <v>0</v>
      </c>
    </row>
    <row r="6" customFormat="false" ht="15" hidden="false" customHeight="false" outlineLevel="0" collapsed="false">
      <c r="B6" s="0" t="s">
        <v>78</v>
      </c>
      <c r="C6" s="11" t="n">
        <f aca="false">'Modele 3 ans'!F39</f>
        <v>8717679.6832</v>
      </c>
      <c r="D6" s="11" t="n">
        <f aca="false">C6-C5</f>
        <v>35503.5231999997</v>
      </c>
    </row>
    <row r="7" customFormat="false" ht="15" hidden="false" customHeight="false" outlineLevel="0" collapsed="false">
      <c r="B7" s="0" t="s">
        <v>79</v>
      </c>
      <c r="C7" s="12" t="n">
        <f aca="false">'Modele 3 ans'!F40</f>
        <v>9589374.1024</v>
      </c>
      <c r="D7" s="12" t="n">
        <f aca="false">C7-C5</f>
        <v>907197.942400001</v>
      </c>
    </row>
    <row r="9" customFormat="false" ht="15" hidden="false" customHeight="false" outlineLevel="0" collapsed="false">
      <c r="B9" s="18" t="s">
        <v>99</v>
      </c>
      <c r="C9" s="18" t="str">
        <f aca="false">INDEX(B5:B7,MATCH(MAX(C5:C7),C5:C7,0))</f>
        <v>Buy (PMS SaaS commercial)</v>
      </c>
    </row>
    <row r="11" customFormat="false" ht="15" hidden="false" customHeight="false" outlineLevel="0" collapsed="false">
      <c r="B11" s="18" t="s">
        <v>100</v>
      </c>
    </row>
    <row r="12" customFormat="false" ht="15" hidden="false" customHeight="false" outlineLevel="0" collapsed="false">
      <c r="B12" s="9" t="s">
        <v>101</v>
      </c>
      <c r="C12" s="9"/>
      <c r="D12" s="9"/>
      <c r="E12" s="9"/>
    </row>
    <row r="13" customFormat="false" ht="15" hidden="false" customHeight="false" outlineLevel="0" collapsed="false">
      <c r="B13" s="9" t="s">
        <v>102</v>
      </c>
      <c r="C13" s="9"/>
      <c r="D13" s="9"/>
      <c r="E13" s="9"/>
    </row>
    <row r="14" customFormat="false" ht="15" hidden="false" customHeight="false" outlineLevel="0" collapsed="false">
      <c r="B14" s="9" t="s">
        <v>103</v>
      </c>
      <c r="C14" s="9"/>
      <c r="D14" s="9"/>
      <c r="E14" s="9"/>
    </row>
    <row r="15" customFormat="false" ht="15" hidden="false" customHeight="false" outlineLevel="0" collapsed="false">
      <c r="B15" s="9" t="s">
        <v>104</v>
      </c>
      <c r="C15" s="9"/>
      <c r="D15" s="9"/>
      <c r="E15" s="9"/>
    </row>
  </sheetData>
  <mergeCells count="5">
    <mergeCell ref="B2:E2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2026-07-17T00:13:40Z</dcterms:created>
  <dc:creator>openpyxl</dc:creator>
  <dc:description/>
  <dc:language>en-US</dc:language>
  <cp:lastModifiedBy/>
  <dcterms:modified xsi:type="dcterms:W3CDTF">2026-07-17T00:17:21Z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